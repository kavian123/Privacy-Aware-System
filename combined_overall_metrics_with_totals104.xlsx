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W2PEPF00001C1F\EXCELCNV\87178879-78f9-4a3f-afa5-badb77973843\"/>
    </mc:Choice>
  </mc:AlternateContent>
  <xr:revisionPtr revIDLastSave="0" documentId="8_{6D7E9720-1FD1-4030-928A-0F2D71BB6C3B}" xr6:coauthVersionLast="47" xr6:coauthVersionMax="47" xr10:uidLastSave="{00000000-0000-0000-0000-000000000000}"/>
  <bookViews>
    <workbookView xWindow="-60" yWindow="-60" windowWidth="15480" windowHeight="11640" xr2:uid="{8E15DFE6-B492-4277-8101-18251A5BFD2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1" l="1"/>
  <c r="Z3" i="1"/>
  <c r="AA3" i="1"/>
  <c r="Y4" i="1"/>
  <c r="Z4" i="1"/>
  <c r="AA4" i="1"/>
  <c r="Y5" i="1"/>
  <c r="Z5" i="1"/>
  <c r="AA5" i="1"/>
  <c r="Y6" i="1"/>
  <c r="Z6" i="1"/>
  <c r="AA6" i="1"/>
  <c r="Y7" i="1"/>
  <c r="Z7" i="1"/>
  <c r="AA7" i="1"/>
  <c r="Y8" i="1"/>
  <c r="Z8" i="1"/>
  <c r="AA8" i="1"/>
  <c r="Y9" i="1"/>
  <c r="Z9" i="1"/>
  <c r="AA9" i="1"/>
  <c r="Y10" i="1"/>
  <c r="Z10" i="1"/>
  <c r="AA10" i="1"/>
  <c r="Y11" i="1"/>
  <c r="Z11" i="1"/>
  <c r="AA11" i="1"/>
  <c r="Y12" i="1"/>
  <c r="Z12" i="1"/>
  <c r="AA12" i="1"/>
  <c r="Y13" i="1"/>
  <c r="Z13" i="1"/>
  <c r="AA13" i="1"/>
  <c r="AA2" i="1"/>
  <c r="Z2" i="1"/>
  <c r="Y2" i="1"/>
  <c r="U3" i="1"/>
  <c r="V3" i="1"/>
  <c r="W3" i="1"/>
  <c r="U4" i="1"/>
  <c r="V4" i="1"/>
  <c r="W4" i="1"/>
  <c r="U5" i="1"/>
  <c r="V5" i="1"/>
  <c r="W5" i="1"/>
  <c r="U6" i="1"/>
  <c r="V6" i="1"/>
  <c r="W6" i="1"/>
  <c r="U7" i="1"/>
  <c r="V7" i="1"/>
  <c r="W7" i="1"/>
  <c r="U8" i="1"/>
  <c r="V8" i="1"/>
  <c r="W8" i="1"/>
  <c r="U9" i="1"/>
  <c r="V9" i="1"/>
  <c r="W9" i="1"/>
  <c r="U10" i="1"/>
  <c r="V10" i="1"/>
  <c r="W10" i="1"/>
  <c r="U11" i="1"/>
  <c r="V11" i="1"/>
  <c r="W11" i="1"/>
  <c r="U12" i="1"/>
  <c r="V12" i="1"/>
  <c r="W12" i="1"/>
  <c r="U13" i="1"/>
  <c r="V13" i="1"/>
  <c r="W13" i="1"/>
  <c r="U14" i="1"/>
  <c r="V14" i="1"/>
  <c r="W14" i="1"/>
  <c r="U15" i="1"/>
  <c r="V15" i="1"/>
  <c r="W15" i="1"/>
  <c r="U16" i="1"/>
  <c r="V16" i="1"/>
  <c r="W16" i="1"/>
  <c r="U17" i="1"/>
  <c r="V17" i="1"/>
  <c r="W17" i="1"/>
  <c r="U18" i="1"/>
  <c r="V18" i="1"/>
  <c r="W18" i="1"/>
  <c r="U19" i="1"/>
  <c r="V19" i="1"/>
  <c r="W19" i="1"/>
  <c r="U20" i="1"/>
  <c r="V20" i="1"/>
  <c r="W20" i="1"/>
  <c r="U21" i="1"/>
  <c r="V21" i="1"/>
  <c r="W21" i="1"/>
  <c r="U22" i="1"/>
  <c r="V22" i="1"/>
  <c r="W22" i="1"/>
  <c r="U23" i="1"/>
  <c r="V23" i="1"/>
  <c r="W23" i="1"/>
  <c r="U24" i="1"/>
  <c r="V24" i="1"/>
  <c r="W24" i="1"/>
  <c r="U25" i="1"/>
  <c r="V25" i="1"/>
  <c r="W25" i="1"/>
  <c r="U26" i="1"/>
  <c r="V26" i="1"/>
  <c r="W26" i="1"/>
  <c r="U27" i="1"/>
  <c r="V27" i="1"/>
  <c r="W27" i="1"/>
  <c r="U28" i="1"/>
  <c r="V28" i="1"/>
  <c r="W28" i="1"/>
  <c r="U29" i="1"/>
  <c r="V29" i="1"/>
  <c r="W29" i="1"/>
  <c r="U30" i="1"/>
  <c r="V30" i="1"/>
  <c r="W30" i="1"/>
  <c r="U31" i="1"/>
  <c r="V31" i="1"/>
  <c r="W31" i="1"/>
  <c r="U32" i="1"/>
  <c r="V32" i="1"/>
  <c r="W32" i="1"/>
  <c r="U33" i="1"/>
  <c r="V33" i="1"/>
  <c r="W33" i="1"/>
  <c r="U34" i="1"/>
  <c r="V34" i="1"/>
  <c r="W34" i="1"/>
  <c r="U35" i="1"/>
  <c r="V35" i="1"/>
  <c r="W35" i="1"/>
  <c r="U36" i="1"/>
  <c r="V36" i="1"/>
  <c r="W36" i="1"/>
  <c r="U37" i="1"/>
  <c r="V37" i="1"/>
  <c r="W37" i="1"/>
  <c r="U38" i="1"/>
  <c r="V38" i="1"/>
  <c r="W38" i="1"/>
  <c r="U39" i="1"/>
  <c r="V39" i="1"/>
  <c r="W39" i="1"/>
  <c r="U40" i="1"/>
  <c r="V40" i="1"/>
  <c r="W40" i="1"/>
  <c r="U41" i="1"/>
  <c r="V41" i="1"/>
  <c r="W41" i="1"/>
  <c r="U42" i="1"/>
  <c r="V42" i="1"/>
  <c r="W42" i="1"/>
  <c r="U43" i="1"/>
  <c r="V43" i="1"/>
  <c r="W43" i="1"/>
  <c r="U44" i="1"/>
  <c r="V44" i="1"/>
  <c r="W44" i="1"/>
  <c r="U45" i="1"/>
  <c r="V45" i="1"/>
  <c r="W45" i="1"/>
  <c r="U46" i="1"/>
  <c r="V46" i="1"/>
  <c r="W46" i="1"/>
  <c r="U47" i="1"/>
  <c r="V47" i="1"/>
  <c r="W47" i="1"/>
  <c r="U48" i="1"/>
  <c r="V48" i="1"/>
  <c r="W48" i="1"/>
  <c r="U49" i="1"/>
  <c r="V49" i="1"/>
  <c r="W49" i="1"/>
  <c r="W2" i="1"/>
  <c r="V2" i="1"/>
  <c r="U2" i="1"/>
</calcChain>
</file>

<file path=xl/sharedStrings.xml><?xml version="1.0" encoding="utf-8"?>
<sst xmlns="http://schemas.openxmlformats.org/spreadsheetml/2006/main" count="193" uniqueCount="29">
  <si>
    <t>TP</t>
  </si>
  <si>
    <t>TN</t>
  </si>
  <si>
    <t>FP</t>
  </si>
  <si>
    <t>FN</t>
  </si>
  <si>
    <t>Precision</t>
  </si>
  <si>
    <t>Recall</t>
  </si>
  <si>
    <t>F1 Score</t>
  </si>
  <si>
    <t>Avg Prompt Tokens</t>
  </si>
  <si>
    <t>Avg Completion Tokens</t>
  </si>
  <si>
    <t>Avg Total Tokens</t>
  </si>
  <si>
    <t>Avg Latency</t>
  </si>
  <si>
    <t>Folder</t>
  </si>
  <si>
    <t>Model</t>
  </si>
  <si>
    <t>Difficulty</t>
  </si>
  <si>
    <t>FT_or_Baseline</t>
  </si>
  <si>
    <t>Total_TP</t>
  </si>
  <si>
    <t>Total_TN</t>
  </si>
  <si>
    <t>Total_FP</t>
  </si>
  <si>
    <t>Total_FN</t>
  </si>
  <si>
    <t>test0_11_09_2024</t>
  </si>
  <si>
    <t>easy</t>
  </si>
  <si>
    <t>ft</t>
  </si>
  <si>
    <t>baseline</t>
  </si>
  <si>
    <t>medium</t>
  </si>
  <si>
    <t>hard</t>
  </si>
  <si>
    <t>4omini</t>
  </si>
  <si>
    <t>test1_13_03_2025</t>
  </si>
  <si>
    <t>test2_18_3_2025</t>
  </si>
  <si>
    <t>test3_19_03_2025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</si>
</sst>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8BC48-F6BD-4E36-AD6A-B3E834E66C4A}">
  <dimension ref="A1:AA49"/>
  <sheetViews>
    <sheetView tabSelected="1" topLeftCell="F1" workbookViewId="0">
      <selection activeCell="AC2" sqref="AC2"/>
    </sheetView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U1" t="s">
        <v>4</v>
      </c>
      <c r="V1" t="s">
        <v>5</v>
      </c>
      <c r="W1" t="s">
        <v>6</v>
      </c>
      <c r="Y1" t="s">
        <v>4</v>
      </c>
      <c r="Z1" t="s">
        <v>5</v>
      </c>
      <c r="AA1" t="s">
        <v>6</v>
      </c>
    </row>
    <row r="2" spans="1:27">
      <c r="A2">
        <v>96</v>
      </c>
      <c r="B2">
        <v>127</v>
      </c>
      <c r="C2">
        <v>27</v>
      </c>
      <c r="D2">
        <v>4</v>
      </c>
      <c r="E2">
        <v>0.78048780487804803</v>
      </c>
      <c r="F2">
        <v>0.96</v>
      </c>
      <c r="G2">
        <v>0.86098654708520095</v>
      </c>
      <c r="H2">
        <v>95.64</v>
      </c>
      <c r="I2">
        <v>55.82</v>
      </c>
      <c r="J2">
        <v>151.46</v>
      </c>
      <c r="K2">
        <v>2.7311368460000001</v>
      </c>
      <c r="L2" t="s">
        <v>19</v>
      </c>
      <c r="M2" s="1">
        <v>45721</v>
      </c>
      <c r="N2" t="s">
        <v>20</v>
      </c>
      <c r="O2" t="s">
        <v>21</v>
      </c>
      <c r="P2">
        <v>471</v>
      </c>
      <c r="Q2">
        <v>381</v>
      </c>
      <c r="R2">
        <v>148</v>
      </c>
      <c r="S2">
        <v>79</v>
      </c>
      <c r="U2">
        <f>A2/(A2+C2)*100</f>
        <v>78.048780487804876</v>
      </c>
      <c r="V2">
        <f>A2/(A2+D2)*100</f>
        <v>96</v>
      </c>
      <c r="W2">
        <f>2*(U2*V2)/(U2+V2)</f>
        <v>86.098654708520172</v>
      </c>
      <c r="Y2">
        <f>AVERAGE(E2,E14,E26,E38)*100</f>
        <v>77.45609756097555</v>
      </c>
      <c r="Z2">
        <f>AVERAGE(F2,F14,F26,F38)*100</f>
        <v>91.199999999999989</v>
      </c>
      <c r="AA2">
        <f>AVERAGE(G2,G14,G26,G38)*100</f>
        <v>83.619282511210741</v>
      </c>
    </row>
    <row r="3" spans="1:27">
      <c r="A3">
        <v>24</v>
      </c>
      <c r="B3">
        <v>0</v>
      </c>
      <c r="C3">
        <v>226</v>
      </c>
      <c r="D3">
        <v>76</v>
      </c>
      <c r="E3">
        <v>9.6000000000000002E-2</v>
      </c>
      <c r="F3">
        <v>0.24</v>
      </c>
      <c r="G3">
        <v>0.13714285714285701</v>
      </c>
      <c r="H3">
        <v>95.64</v>
      </c>
      <c r="I3">
        <v>73.16</v>
      </c>
      <c r="J3">
        <v>168.8</v>
      </c>
      <c r="K3">
        <v>1.4430190699999901</v>
      </c>
      <c r="L3" t="s">
        <v>19</v>
      </c>
      <c r="M3" s="1">
        <v>45721</v>
      </c>
      <c r="N3" t="s">
        <v>20</v>
      </c>
      <c r="O3" t="s">
        <v>22</v>
      </c>
      <c r="P3">
        <v>92</v>
      </c>
      <c r="Q3">
        <v>0</v>
      </c>
      <c r="R3">
        <v>907</v>
      </c>
      <c r="S3">
        <v>608</v>
      </c>
      <c r="U3">
        <f t="shared" ref="U3:U49" si="0">A3/(A3+C3)*100</f>
        <v>9.6</v>
      </c>
      <c r="V3">
        <f t="shared" ref="V3:V49" si="1">A3/(A3+D3)*100</f>
        <v>24</v>
      </c>
      <c r="W3">
        <f t="shared" ref="W3:W49" si="2">2*(U3*V3)/(U3+V3)</f>
        <v>13.714285714285712</v>
      </c>
      <c r="Y3">
        <f t="shared" ref="Y3:AA3" si="3">AVERAGE(E3,E15,E27,E39)*100</f>
        <v>9.2088353413654609</v>
      </c>
      <c r="Z3">
        <f t="shared" si="3"/>
        <v>15.949999999999998</v>
      </c>
      <c r="AA3">
        <f t="shared" si="3"/>
        <v>11.132980246206694</v>
      </c>
    </row>
    <row r="4" spans="1:27">
      <c r="A4">
        <v>84</v>
      </c>
      <c r="B4">
        <v>78</v>
      </c>
      <c r="C4">
        <v>56</v>
      </c>
      <c r="D4">
        <v>65</v>
      </c>
      <c r="E4">
        <v>0.6</v>
      </c>
      <c r="F4">
        <v>0.56375838926174404</v>
      </c>
      <c r="G4">
        <v>0.58131487889273303</v>
      </c>
      <c r="H4">
        <v>103.88</v>
      </c>
      <c r="I4">
        <v>56.54</v>
      </c>
      <c r="J4">
        <v>160.41999999999999</v>
      </c>
      <c r="K4">
        <v>1.0280315579999999</v>
      </c>
      <c r="L4" t="s">
        <v>19</v>
      </c>
      <c r="M4" s="1">
        <v>45721</v>
      </c>
      <c r="N4" t="s">
        <v>23</v>
      </c>
      <c r="O4" t="s">
        <v>21</v>
      </c>
      <c r="P4">
        <v>389</v>
      </c>
      <c r="Q4">
        <v>234</v>
      </c>
      <c r="R4">
        <v>280</v>
      </c>
      <c r="S4">
        <v>308</v>
      </c>
      <c r="U4">
        <f t="shared" si="0"/>
        <v>60</v>
      </c>
      <c r="V4">
        <f t="shared" si="1"/>
        <v>56.375838926174495</v>
      </c>
      <c r="W4">
        <f t="shared" si="2"/>
        <v>58.131487889273352</v>
      </c>
      <c r="Y4">
        <f t="shared" ref="Y4:AA4" si="4">AVERAGE(E4,E16,E28,E40)*100</f>
        <v>59.196916752312426</v>
      </c>
      <c r="Z4">
        <f t="shared" si="4"/>
        <v>56.32080536912747</v>
      </c>
      <c r="AA4">
        <f t="shared" si="4"/>
        <v>57.712326989619356</v>
      </c>
    </row>
    <row r="5" spans="1:27">
      <c r="A5">
        <v>5</v>
      </c>
      <c r="B5">
        <v>2</v>
      </c>
      <c r="C5">
        <v>242</v>
      </c>
      <c r="D5">
        <v>144</v>
      </c>
      <c r="E5">
        <v>2.0242914979756998E-2</v>
      </c>
      <c r="F5">
        <v>3.3557046979865703E-2</v>
      </c>
      <c r="G5">
        <v>2.52525252525252E-2</v>
      </c>
      <c r="H5">
        <v>103.88</v>
      </c>
      <c r="I5">
        <v>96.66</v>
      </c>
      <c r="J5">
        <v>200.54</v>
      </c>
      <c r="K5">
        <v>1.858506116</v>
      </c>
      <c r="L5" t="s">
        <v>19</v>
      </c>
      <c r="M5" s="1">
        <v>45721</v>
      </c>
      <c r="N5" t="s">
        <v>23</v>
      </c>
      <c r="O5" t="s">
        <v>22</v>
      </c>
      <c r="P5">
        <v>24</v>
      </c>
      <c r="Q5">
        <v>7</v>
      </c>
      <c r="R5">
        <v>966</v>
      </c>
      <c r="S5">
        <v>673</v>
      </c>
      <c r="U5">
        <f t="shared" si="0"/>
        <v>2.0242914979757085</v>
      </c>
      <c r="V5">
        <f t="shared" si="1"/>
        <v>3.3557046979865772</v>
      </c>
      <c r="W5">
        <f t="shared" si="2"/>
        <v>2.5252525252525255</v>
      </c>
      <c r="Y5">
        <f t="shared" ref="Y5:AA5" si="5">AVERAGE(E5,E17,E29,E41)*100</f>
        <v>2.4260037500699601</v>
      </c>
      <c r="Z5">
        <f t="shared" si="5"/>
        <v>3.6879194630872423</v>
      </c>
      <c r="AA5">
        <f t="shared" si="5"/>
        <v>2.9012500950896749</v>
      </c>
    </row>
    <row r="6" spans="1:27">
      <c r="A6">
        <v>176</v>
      </c>
      <c r="B6">
        <v>2</v>
      </c>
      <c r="C6">
        <v>46</v>
      </c>
      <c r="D6">
        <v>71</v>
      </c>
      <c r="E6">
        <v>0.79279279279279202</v>
      </c>
      <c r="F6">
        <v>0.71255060728744901</v>
      </c>
      <c r="G6">
        <v>0.75053304904051099</v>
      </c>
      <c r="H6">
        <v>125.86</v>
      </c>
      <c r="I6">
        <v>86.44</v>
      </c>
      <c r="J6">
        <v>212.3</v>
      </c>
      <c r="K6">
        <v>1.2770728819999999</v>
      </c>
      <c r="L6" t="s">
        <v>19</v>
      </c>
      <c r="M6" s="1">
        <v>45721</v>
      </c>
      <c r="N6" t="s">
        <v>24</v>
      </c>
      <c r="O6" t="s">
        <v>21</v>
      </c>
      <c r="P6">
        <v>634</v>
      </c>
      <c r="Q6">
        <v>6</v>
      </c>
      <c r="R6">
        <v>277</v>
      </c>
      <c r="S6">
        <v>357</v>
      </c>
      <c r="U6">
        <f t="shared" si="0"/>
        <v>79.27927927927928</v>
      </c>
      <c r="V6">
        <f t="shared" si="1"/>
        <v>71.255060728744937</v>
      </c>
      <c r="W6">
        <f t="shared" si="2"/>
        <v>75.053304904051174</v>
      </c>
      <c r="Y6">
        <f t="shared" ref="Y6:AA6" si="6">AVERAGE(E6,E18,E30,E42)*100</f>
        <v>70.440886652530452</v>
      </c>
      <c r="Z6">
        <f t="shared" si="6"/>
        <v>64.035222672064734</v>
      </c>
      <c r="AA6">
        <f t="shared" si="6"/>
        <v>67.0548785506858</v>
      </c>
    </row>
    <row r="7" spans="1:27">
      <c r="A7">
        <v>29</v>
      </c>
      <c r="B7">
        <v>1</v>
      </c>
      <c r="C7">
        <v>208</v>
      </c>
      <c r="D7">
        <v>218</v>
      </c>
      <c r="E7">
        <v>0.122362869198312</v>
      </c>
      <c r="F7">
        <v>0.11740890688259099</v>
      </c>
      <c r="G7">
        <v>0.119834710743801</v>
      </c>
      <c r="H7">
        <v>125.86</v>
      </c>
      <c r="I7">
        <v>124.74</v>
      </c>
      <c r="J7">
        <v>250.6</v>
      </c>
      <c r="K7">
        <v>2.2670978239999999</v>
      </c>
      <c r="L7" t="s">
        <v>19</v>
      </c>
      <c r="M7" s="1">
        <v>45721</v>
      </c>
      <c r="N7" t="s">
        <v>24</v>
      </c>
      <c r="O7" t="s">
        <v>22</v>
      </c>
      <c r="P7">
        <v>108</v>
      </c>
      <c r="Q7">
        <v>1</v>
      </c>
      <c r="R7">
        <v>829</v>
      </c>
      <c r="S7">
        <v>883</v>
      </c>
      <c r="U7">
        <f t="shared" si="0"/>
        <v>12.236286919831224</v>
      </c>
      <c r="V7">
        <f t="shared" si="1"/>
        <v>11.740890688259109</v>
      </c>
      <c r="W7">
        <f t="shared" si="2"/>
        <v>11.983471074380164</v>
      </c>
      <c r="Y7">
        <f t="shared" ref="Y7:AA7" si="7">AVERAGE(E7,E19,E31,E43)*100</f>
        <v>11.525587822685326</v>
      </c>
      <c r="Z7">
        <f t="shared" si="7"/>
        <v>10.899595141700374</v>
      </c>
      <c r="AA7">
        <f t="shared" si="7"/>
        <v>11.2033946317993</v>
      </c>
    </row>
    <row r="8" spans="1:27">
      <c r="A8">
        <v>100</v>
      </c>
      <c r="B8">
        <v>150</v>
      </c>
      <c r="C8">
        <v>0</v>
      </c>
      <c r="D8">
        <v>0</v>
      </c>
      <c r="E8">
        <v>1</v>
      </c>
      <c r="F8">
        <v>1</v>
      </c>
      <c r="G8">
        <v>1</v>
      </c>
      <c r="H8">
        <v>94</v>
      </c>
      <c r="I8">
        <v>44.28</v>
      </c>
      <c r="J8">
        <v>138.28</v>
      </c>
      <c r="K8">
        <v>1.780295736</v>
      </c>
      <c r="L8" t="s">
        <v>19</v>
      </c>
      <c r="M8" t="s">
        <v>25</v>
      </c>
      <c r="N8" t="s">
        <v>20</v>
      </c>
      <c r="O8" t="s">
        <v>21</v>
      </c>
      <c r="P8">
        <v>500</v>
      </c>
      <c r="Q8">
        <v>450</v>
      </c>
      <c r="R8">
        <v>50</v>
      </c>
      <c r="S8">
        <v>50</v>
      </c>
      <c r="U8">
        <f t="shared" si="0"/>
        <v>100</v>
      </c>
      <c r="V8">
        <f t="shared" si="1"/>
        <v>100</v>
      </c>
      <c r="W8">
        <f t="shared" si="2"/>
        <v>100</v>
      </c>
      <c r="Y8">
        <f t="shared" ref="Y8:AA8" si="8">AVERAGE(E8,E20,E32,E44)*100</f>
        <v>95</v>
      </c>
      <c r="Z8">
        <f t="shared" si="8"/>
        <v>95</v>
      </c>
      <c r="AA8">
        <f t="shared" si="8"/>
        <v>95</v>
      </c>
    </row>
    <row r="9" spans="1:27">
      <c r="A9">
        <v>18</v>
      </c>
      <c r="B9">
        <v>63</v>
      </c>
      <c r="C9">
        <v>127</v>
      </c>
      <c r="D9">
        <v>82</v>
      </c>
      <c r="E9">
        <v>0.12413793103448199</v>
      </c>
      <c r="F9">
        <v>0.18</v>
      </c>
      <c r="G9">
        <v>0.14693877551020401</v>
      </c>
      <c r="H9">
        <v>94</v>
      </c>
      <c r="I9">
        <v>129.86000000000001</v>
      </c>
      <c r="J9">
        <v>223.86</v>
      </c>
      <c r="K9">
        <v>1.56685903199999</v>
      </c>
      <c r="L9" t="s">
        <v>19</v>
      </c>
      <c r="M9" t="s">
        <v>25</v>
      </c>
      <c r="N9" t="s">
        <v>20</v>
      </c>
      <c r="O9" t="s">
        <v>22</v>
      </c>
      <c r="P9">
        <v>84</v>
      </c>
      <c r="Q9">
        <v>165</v>
      </c>
      <c r="R9">
        <v>551</v>
      </c>
      <c r="S9">
        <v>466</v>
      </c>
      <c r="U9">
        <f t="shared" si="0"/>
        <v>12.413793103448276</v>
      </c>
      <c r="V9">
        <f t="shared" si="1"/>
        <v>18</v>
      </c>
      <c r="W9">
        <f t="shared" si="2"/>
        <v>14.693877551020407</v>
      </c>
      <c r="Y9">
        <f t="shared" ref="Y9:AA9" si="9">AVERAGE(E9,E21,E33,E45)*100</f>
        <v>13.204551217038501</v>
      </c>
      <c r="Z9">
        <f t="shared" si="9"/>
        <v>18</v>
      </c>
      <c r="AA9">
        <f t="shared" si="9"/>
        <v>14.794829960335148</v>
      </c>
    </row>
    <row r="10" spans="1:27">
      <c r="A10">
        <v>84</v>
      </c>
      <c r="B10">
        <v>100</v>
      </c>
      <c r="C10">
        <v>60</v>
      </c>
      <c r="D10">
        <v>65</v>
      </c>
      <c r="E10">
        <v>0.58333333333333304</v>
      </c>
      <c r="F10">
        <v>0.56375838926174404</v>
      </c>
      <c r="G10">
        <v>0.573378839590443</v>
      </c>
      <c r="H10">
        <v>102.56</v>
      </c>
      <c r="I10">
        <v>54.22</v>
      </c>
      <c r="J10">
        <v>156.78</v>
      </c>
      <c r="K10">
        <v>1.72899067799999</v>
      </c>
      <c r="L10" t="s">
        <v>19</v>
      </c>
      <c r="M10" t="s">
        <v>25</v>
      </c>
      <c r="N10" t="s">
        <v>23</v>
      </c>
      <c r="O10" t="s">
        <v>21</v>
      </c>
      <c r="P10">
        <v>396</v>
      </c>
      <c r="Q10">
        <v>302</v>
      </c>
      <c r="R10">
        <v>282</v>
      </c>
      <c r="S10">
        <v>301</v>
      </c>
      <c r="U10">
        <f t="shared" si="0"/>
        <v>58.333333333333336</v>
      </c>
      <c r="V10">
        <f t="shared" si="1"/>
        <v>56.375838926174495</v>
      </c>
      <c r="W10">
        <f t="shared" si="2"/>
        <v>57.337883959044369</v>
      </c>
      <c r="Y10">
        <f t="shared" ref="Y10:AA10" si="10">AVERAGE(E10,E22,E34,E46)*100</f>
        <v>58.031049447006879</v>
      </c>
      <c r="Z10">
        <f t="shared" si="10"/>
        <v>56.207382550335524</v>
      </c>
      <c r="AA10">
        <f t="shared" si="10"/>
        <v>57.098618368126672</v>
      </c>
    </row>
    <row r="11" spans="1:27">
      <c r="A11">
        <v>3</v>
      </c>
      <c r="B11">
        <v>24</v>
      </c>
      <c r="C11">
        <v>188</v>
      </c>
      <c r="D11">
        <v>146</v>
      </c>
      <c r="E11">
        <v>1.5706806282722498E-2</v>
      </c>
      <c r="F11">
        <v>2.0134228187919399E-2</v>
      </c>
      <c r="G11">
        <v>1.7647058823529401E-2</v>
      </c>
      <c r="H11">
        <v>102.56</v>
      </c>
      <c r="I11">
        <v>130.1</v>
      </c>
      <c r="J11">
        <v>232.66</v>
      </c>
      <c r="K11">
        <v>1.776089096</v>
      </c>
      <c r="L11" t="s">
        <v>19</v>
      </c>
      <c r="M11" t="s">
        <v>25</v>
      </c>
      <c r="N11" t="s">
        <v>23</v>
      </c>
      <c r="O11" t="s">
        <v>22</v>
      </c>
      <c r="P11">
        <v>23</v>
      </c>
      <c r="Q11">
        <v>42</v>
      </c>
      <c r="R11">
        <v>863</v>
      </c>
      <c r="S11">
        <v>674</v>
      </c>
      <c r="U11">
        <f t="shared" si="0"/>
        <v>1.5706806282722512</v>
      </c>
      <c r="V11">
        <f t="shared" si="1"/>
        <v>2.0134228187919461</v>
      </c>
      <c r="W11">
        <f t="shared" si="2"/>
        <v>1.7647058823529411</v>
      </c>
      <c r="Y11">
        <f t="shared" ref="Y11:AA11" si="11">AVERAGE(E11,E23,E35,E47)*100</f>
        <v>2.5493730556187826</v>
      </c>
      <c r="Z11">
        <f t="shared" si="11"/>
        <v>3.3845637583892576</v>
      </c>
      <c r="AA11">
        <f t="shared" si="11"/>
        <v>2.8810840719113227</v>
      </c>
    </row>
    <row r="12" spans="1:27">
      <c r="A12">
        <v>174</v>
      </c>
      <c r="B12">
        <v>2</v>
      </c>
      <c r="C12">
        <v>45</v>
      </c>
      <c r="D12">
        <v>73</v>
      </c>
      <c r="E12">
        <v>0.79452054794520499</v>
      </c>
      <c r="F12">
        <v>0.70445344129554599</v>
      </c>
      <c r="G12">
        <v>0.74678111587982798</v>
      </c>
      <c r="H12">
        <v>124.24</v>
      </c>
      <c r="I12">
        <v>86.68</v>
      </c>
      <c r="J12">
        <v>210.92</v>
      </c>
      <c r="K12">
        <v>1.541071326</v>
      </c>
      <c r="L12" t="s">
        <v>19</v>
      </c>
      <c r="M12" t="s">
        <v>25</v>
      </c>
      <c r="N12" t="s">
        <v>24</v>
      </c>
      <c r="O12" t="s">
        <v>21</v>
      </c>
      <c r="P12">
        <v>631</v>
      </c>
      <c r="Q12">
        <v>6</v>
      </c>
      <c r="R12">
        <v>274</v>
      </c>
      <c r="S12">
        <v>360</v>
      </c>
      <c r="U12">
        <f t="shared" si="0"/>
        <v>79.452054794520549</v>
      </c>
      <c r="V12">
        <f t="shared" si="1"/>
        <v>70.445344129554655</v>
      </c>
      <c r="W12">
        <f t="shared" si="2"/>
        <v>74.678111587982826</v>
      </c>
      <c r="Y12">
        <f t="shared" ref="Y12:AA12" si="12">AVERAGE(E12,E24,E36,E48)*100</f>
        <v>70.627233882116343</v>
      </c>
      <c r="Z12">
        <f t="shared" si="12"/>
        <v>63.730364372469609</v>
      </c>
      <c r="AA12">
        <f t="shared" si="12"/>
        <v>66.966302090544076</v>
      </c>
    </row>
    <row r="13" spans="1:27">
      <c r="A13">
        <v>20</v>
      </c>
      <c r="B13">
        <v>0</v>
      </c>
      <c r="C13">
        <v>179</v>
      </c>
      <c r="D13">
        <v>227</v>
      </c>
      <c r="E13">
        <v>0.10050251256281401</v>
      </c>
      <c r="F13">
        <v>8.0971659919028299E-2</v>
      </c>
      <c r="G13">
        <v>8.9686098654708502E-2</v>
      </c>
      <c r="H13">
        <v>124.24</v>
      </c>
      <c r="I13">
        <v>153.4</v>
      </c>
      <c r="J13">
        <v>277.64</v>
      </c>
      <c r="K13">
        <v>1.9087931819999899</v>
      </c>
      <c r="L13" t="s">
        <v>19</v>
      </c>
      <c r="M13" t="s">
        <v>25</v>
      </c>
      <c r="N13" t="s">
        <v>24</v>
      </c>
      <c r="O13" t="s">
        <v>22</v>
      </c>
      <c r="P13">
        <v>79</v>
      </c>
      <c r="Q13">
        <v>2</v>
      </c>
      <c r="R13">
        <v>699</v>
      </c>
      <c r="S13">
        <v>912</v>
      </c>
      <c r="U13">
        <f t="shared" si="0"/>
        <v>10.050251256281408</v>
      </c>
      <c r="V13">
        <f t="shared" si="1"/>
        <v>8.097165991902834</v>
      </c>
      <c r="W13">
        <f t="shared" si="2"/>
        <v>8.9686098654708548</v>
      </c>
      <c r="Y13">
        <f t="shared" ref="Y13:AA13" si="13">AVERAGE(E13,E25,E37,E49)*100</f>
        <v>10.149925451432956</v>
      </c>
      <c r="Z13">
        <f t="shared" si="13"/>
        <v>7.9704453441295522</v>
      </c>
      <c r="AA13">
        <f t="shared" si="13"/>
        <v>8.928366650565728</v>
      </c>
    </row>
    <row r="14" spans="1:27">
      <c r="A14">
        <v>99</v>
      </c>
      <c r="B14">
        <v>127</v>
      </c>
      <c r="C14">
        <v>24</v>
      </c>
      <c r="D14">
        <v>1</v>
      </c>
      <c r="E14">
        <v>0.80487804878048697</v>
      </c>
      <c r="F14">
        <v>0.99</v>
      </c>
      <c r="G14">
        <v>0.88789237668161403</v>
      </c>
      <c r="H14">
        <v>95.64</v>
      </c>
      <c r="I14">
        <v>57.4</v>
      </c>
      <c r="J14">
        <v>153.04</v>
      </c>
      <c r="K14">
        <v>2.3894019919999998</v>
      </c>
      <c r="L14" t="s">
        <v>26</v>
      </c>
      <c r="M14" s="1">
        <v>45721</v>
      </c>
      <c r="N14" t="s">
        <v>20</v>
      </c>
      <c r="O14" t="s">
        <v>21</v>
      </c>
      <c r="P14">
        <v>471</v>
      </c>
      <c r="Q14">
        <v>381</v>
      </c>
      <c r="R14">
        <v>148</v>
      </c>
      <c r="S14">
        <v>79</v>
      </c>
      <c r="U14">
        <f t="shared" si="0"/>
        <v>80.487804878048792</v>
      </c>
      <c r="V14">
        <f t="shared" si="1"/>
        <v>99</v>
      </c>
      <c r="W14">
        <f t="shared" si="2"/>
        <v>88.789237668161448</v>
      </c>
    </row>
    <row r="15" spans="1:27">
      <c r="A15">
        <v>21</v>
      </c>
      <c r="B15">
        <v>0</v>
      </c>
      <c r="C15">
        <v>229</v>
      </c>
      <c r="D15">
        <v>79</v>
      </c>
      <c r="E15">
        <v>8.4000000000000005E-2</v>
      </c>
      <c r="F15">
        <v>0.21</v>
      </c>
      <c r="G15">
        <v>0.12</v>
      </c>
      <c r="H15">
        <v>95.64</v>
      </c>
      <c r="I15">
        <v>82.54</v>
      </c>
      <c r="J15">
        <v>178.18</v>
      </c>
      <c r="K15">
        <v>1.5246067479999901</v>
      </c>
      <c r="L15" t="s">
        <v>26</v>
      </c>
      <c r="M15" s="1">
        <v>45721</v>
      </c>
      <c r="N15" t="s">
        <v>20</v>
      </c>
      <c r="O15" t="s">
        <v>22</v>
      </c>
      <c r="P15">
        <v>92</v>
      </c>
      <c r="Q15">
        <v>0</v>
      </c>
      <c r="R15">
        <v>907</v>
      </c>
      <c r="S15">
        <v>608</v>
      </c>
      <c r="U15">
        <f t="shared" si="0"/>
        <v>8.4</v>
      </c>
      <c r="V15">
        <f t="shared" si="1"/>
        <v>21</v>
      </c>
      <c r="W15">
        <f t="shared" si="2"/>
        <v>12.000000000000002</v>
      </c>
    </row>
    <row r="16" spans="1:27">
      <c r="A16">
        <v>81</v>
      </c>
      <c r="B16">
        <v>77</v>
      </c>
      <c r="C16">
        <v>58</v>
      </c>
      <c r="D16">
        <v>68</v>
      </c>
      <c r="E16">
        <v>0.58273381294964</v>
      </c>
      <c r="F16">
        <v>0.54362416107382505</v>
      </c>
      <c r="G16">
        <v>0.5625</v>
      </c>
      <c r="H16">
        <v>103.88</v>
      </c>
      <c r="I16">
        <v>57.54</v>
      </c>
      <c r="J16">
        <v>161.41999999999999</v>
      </c>
      <c r="K16">
        <v>1.507053942</v>
      </c>
      <c r="L16" t="s">
        <v>26</v>
      </c>
      <c r="M16" s="1">
        <v>45721</v>
      </c>
      <c r="N16" t="s">
        <v>23</v>
      </c>
      <c r="O16" t="s">
        <v>21</v>
      </c>
      <c r="P16">
        <v>389</v>
      </c>
      <c r="Q16">
        <v>234</v>
      </c>
      <c r="R16">
        <v>280</v>
      </c>
      <c r="S16">
        <v>308</v>
      </c>
      <c r="U16">
        <f t="shared" si="0"/>
        <v>58.273381294964032</v>
      </c>
      <c r="V16">
        <f t="shared" si="1"/>
        <v>54.36241610738255</v>
      </c>
      <c r="W16">
        <f t="shared" si="2"/>
        <v>56.25</v>
      </c>
    </row>
    <row r="17" spans="1:23">
      <c r="A17">
        <v>7</v>
      </c>
      <c r="B17">
        <v>1</v>
      </c>
      <c r="C17">
        <v>241</v>
      </c>
      <c r="D17">
        <v>142</v>
      </c>
      <c r="E17">
        <v>2.8225806451612899E-2</v>
      </c>
      <c r="F17">
        <v>4.6979865771811999E-2</v>
      </c>
      <c r="G17">
        <v>3.5264483627204003E-2</v>
      </c>
      <c r="H17">
        <v>103.88</v>
      </c>
      <c r="I17">
        <v>101.48</v>
      </c>
      <c r="J17">
        <v>205.36</v>
      </c>
      <c r="K17">
        <v>1.35308421999999</v>
      </c>
      <c r="L17" t="s">
        <v>26</v>
      </c>
      <c r="M17" s="1">
        <v>45721</v>
      </c>
      <c r="N17" t="s">
        <v>23</v>
      </c>
      <c r="O17" t="s">
        <v>22</v>
      </c>
      <c r="P17">
        <v>24</v>
      </c>
      <c r="Q17">
        <v>7</v>
      </c>
      <c r="R17">
        <v>966</v>
      </c>
      <c r="S17">
        <v>673</v>
      </c>
      <c r="U17">
        <f t="shared" si="0"/>
        <v>2.82258064516129</v>
      </c>
      <c r="V17">
        <f t="shared" si="1"/>
        <v>4.6979865771812079</v>
      </c>
      <c r="W17">
        <f t="shared" si="2"/>
        <v>3.5264483627204029</v>
      </c>
    </row>
    <row r="18" spans="1:23">
      <c r="A18">
        <v>175</v>
      </c>
      <c r="B18">
        <v>2</v>
      </c>
      <c r="C18">
        <v>45</v>
      </c>
      <c r="D18">
        <v>72</v>
      </c>
      <c r="E18">
        <v>0.79545454545454497</v>
      </c>
      <c r="F18">
        <v>0.708502024291498</v>
      </c>
      <c r="G18">
        <v>0.74946466809421797</v>
      </c>
      <c r="H18">
        <v>125.86</v>
      </c>
      <c r="I18">
        <v>87.04</v>
      </c>
      <c r="J18">
        <v>212.9</v>
      </c>
      <c r="K18">
        <v>1.54030399</v>
      </c>
      <c r="L18" t="s">
        <v>26</v>
      </c>
      <c r="M18" s="1">
        <v>45721</v>
      </c>
      <c r="N18" t="s">
        <v>24</v>
      </c>
      <c r="O18" t="s">
        <v>21</v>
      </c>
      <c r="P18">
        <v>634</v>
      </c>
      <c r="Q18">
        <v>6</v>
      </c>
      <c r="R18">
        <v>277</v>
      </c>
      <c r="S18">
        <v>357</v>
      </c>
      <c r="U18">
        <f t="shared" si="0"/>
        <v>79.545454545454547</v>
      </c>
      <c r="V18">
        <f t="shared" si="1"/>
        <v>70.850202429149803</v>
      </c>
      <c r="W18">
        <f t="shared" si="2"/>
        <v>74.94646680942185</v>
      </c>
    </row>
    <row r="19" spans="1:23">
      <c r="A19">
        <v>26</v>
      </c>
      <c r="B19">
        <v>0</v>
      </c>
      <c r="C19">
        <v>203</v>
      </c>
      <c r="D19">
        <v>221</v>
      </c>
      <c r="E19">
        <v>0.11353711790392999</v>
      </c>
      <c r="F19">
        <v>0.105263157894736</v>
      </c>
      <c r="G19">
        <v>0.109243697478991</v>
      </c>
      <c r="H19">
        <v>125.86</v>
      </c>
      <c r="I19">
        <v>125.18</v>
      </c>
      <c r="J19">
        <v>251.04</v>
      </c>
      <c r="K19">
        <v>1.617509608</v>
      </c>
      <c r="L19" t="s">
        <v>26</v>
      </c>
      <c r="M19" s="1">
        <v>45721</v>
      </c>
      <c r="N19" t="s">
        <v>24</v>
      </c>
      <c r="O19" t="s">
        <v>22</v>
      </c>
      <c r="P19">
        <v>108</v>
      </c>
      <c r="Q19">
        <v>1</v>
      </c>
      <c r="R19">
        <v>829</v>
      </c>
      <c r="S19">
        <v>883</v>
      </c>
      <c r="U19">
        <f t="shared" si="0"/>
        <v>11.353711790393014</v>
      </c>
      <c r="V19">
        <f t="shared" si="1"/>
        <v>10.526315789473683</v>
      </c>
      <c r="W19">
        <f t="shared" si="2"/>
        <v>10.924369747899158</v>
      </c>
    </row>
    <row r="20" spans="1:23">
      <c r="A20">
        <v>100</v>
      </c>
      <c r="B20">
        <v>150</v>
      </c>
      <c r="C20">
        <v>0</v>
      </c>
      <c r="D20">
        <v>0</v>
      </c>
      <c r="E20">
        <v>1</v>
      </c>
      <c r="F20">
        <v>1</v>
      </c>
      <c r="G20">
        <v>1</v>
      </c>
      <c r="H20">
        <v>94</v>
      </c>
      <c r="I20">
        <v>45.28</v>
      </c>
      <c r="J20">
        <v>139.28</v>
      </c>
      <c r="K20">
        <v>4.4853961779999896</v>
      </c>
      <c r="L20" t="s">
        <v>26</v>
      </c>
      <c r="M20" t="s">
        <v>25</v>
      </c>
      <c r="N20" t="s">
        <v>20</v>
      </c>
      <c r="O20" t="s">
        <v>21</v>
      </c>
      <c r="P20">
        <v>500</v>
      </c>
      <c r="Q20">
        <v>450</v>
      </c>
      <c r="R20">
        <v>50</v>
      </c>
      <c r="S20">
        <v>50</v>
      </c>
      <c r="U20">
        <f t="shared" si="0"/>
        <v>100</v>
      </c>
      <c r="V20">
        <f t="shared" si="1"/>
        <v>100</v>
      </c>
      <c r="W20">
        <f t="shared" si="2"/>
        <v>100</v>
      </c>
    </row>
    <row r="21" spans="1:23">
      <c r="A21">
        <v>23</v>
      </c>
      <c r="B21">
        <v>48</v>
      </c>
      <c r="C21">
        <v>147</v>
      </c>
      <c r="D21">
        <v>77</v>
      </c>
      <c r="E21">
        <v>0.13529411764705801</v>
      </c>
      <c r="F21">
        <v>0.23</v>
      </c>
      <c r="G21">
        <v>0.17037037037037001</v>
      </c>
      <c r="H21">
        <v>94</v>
      </c>
      <c r="I21">
        <v>125.46</v>
      </c>
      <c r="J21">
        <v>219.46</v>
      </c>
      <c r="K21">
        <v>2.147515898</v>
      </c>
      <c r="L21" t="s">
        <v>26</v>
      </c>
      <c r="M21" t="s">
        <v>25</v>
      </c>
      <c r="N21" t="s">
        <v>20</v>
      </c>
      <c r="O21" t="s">
        <v>22</v>
      </c>
      <c r="P21">
        <v>84</v>
      </c>
      <c r="Q21">
        <v>165</v>
      </c>
      <c r="R21">
        <v>551</v>
      </c>
      <c r="S21">
        <v>466</v>
      </c>
      <c r="U21">
        <f t="shared" si="0"/>
        <v>13.529411764705882</v>
      </c>
      <c r="V21">
        <f t="shared" si="1"/>
        <v>23</v>
      </c>
      <c r="W21">
        <f t="shared" si="2"/>
        <v>17.037037037037038</v>
      </c>
    </row>
    <row r="22" spans="1:23">
      <c r="A22">
        <v>81</v>
      </c>
      <c r="B22">
        <v>101</v>
      </c>
      <c r="C22">
        <v>60</v>
      </c>
      <c r="D22">
        <v>68</v>
      </c>
      <c r="E22">
        <v>0.57446808510638303</v>
      </c>
      <c r="F22">
        <v>0.54362416107382505</v>
      </c>
      <c r="G22">
        <v>0.55862068965517198</v>
      </c>
      <c r="H22">
        <v>102.56</v>
      </c>
      <c r="I22">
        <v>55.32</v>
      </c>
      <c r="J22">
        <v>157.88</v>
      </c>
      <c r="K22">
        <v>2.7235852919999899</v>
      </c>
      <c r="L22" t="s">
        <v>26</v>
      </c>
      <c r="M22" t="s">
        <v>25</v>
      </c>
      <c r="N22" t="s">
        <v>23</v>
      </c>
      <c r="O22" t="s">
        <v>21</v>
      </c>
      <c r="P22">
        <v>396</v>
      </c>
      <c r="Q22">
        <v>302</v>
      </c>
      <c r="R22">
        <v>282</v>
      </c>
      <c r="S22">
        <v>301</v>
      </c>
      <c r="U22">
        <f t="shared" si="0"/>
        <v>57.446808510638306</v>
      </c>
      <c r="V22">
        <f t="shared" si="1"/>
        <v>54.36241610738255</v>
      </c>
      <c r="W22">
        <f t="shared" si="2"/>
        <v>55.862068965517238</v>
      </c>
    </row>
    <row r="23" spans="1:23">
      <c r="A23">
        <v>6</v>
      </c>
      <c r="B23">
        <v>10</v>
      </c>
      <c r="C23">
        <v>219</v>
      </c>
      <c r="D23">
        <v>143</v>
      </c>
      <c r="E23">
        <v>2.6666666666666599E-2</v>
      </c>
      <c r="F23">
        <v>4.0268456375838903E-2</v>
      </c>
      <c r="G23">
        <v>3.20855614973262E-2</v>
      </c>
      <c r="H23">
        <v>102.56</v>
      </c>
      <c r="I23">
        <v>124.84</v>
      </c>
      <c r="J23">
        <v>227.4</v>
      </c>
      <c r="K23">
        <v>2.14744448999999</v>
      </c>
      <c r="L23" t="s">
        <v>26</v>
      </c>
      <c r="M23" t="s">
        <v>25</v>
      </c>
      <c r="N23" t="s">
        <v>23</v>
      </c>
      <c r="O23" t="s">
        <v>22</v>
      </c>
      <c r="P23">
        <v>23</v>
      </c>
      <c r="Q23">
        <v>42</v>
      </c>
      <c r="R23">
        <v>863</v>
      </c>
      <c r="S23">
        <v>674</v>
      </c>
      <c r="U23">
        <f t="shared" si="0"/>
        <v>2.666666666666667</v>
      </c>
      <c r="V23">
        <f t="shared" si="1"/>
        <v>4.0268456375838921</v>
      </c>
      <c r="W23">
        <f t="shared" si="2"/>
        <v>3.2085561497326207</v>
      </c>
    </row>
    <row r="24" spans="1:23">
      <c r="A24">
        <v>172</v>
      </c>
      <c r="B24">
        <v>2</v>
      </c>
      <c r="C24">
        <v>46</v>
      </c>
      <c r="D24">
        <v>75</v>
      </c>
      <c r="E24">
        <v>0.78899082568807299</v>
      </c>
      <c r="F24">
        <v>0.69635627530364297</v>
      </c>
      <c r="G24">
        <v>0.73978494623655899</v>
      </c>
      <c r="H24">
        <v>124.24</v>
      </c>
      <c r="I24">
        <v>87.72</v>
      </c>
      <c r="J24">
        <v>211.96</v>
      </c>
      <c r="K24">
        <v>3.40251554199999</v>
      </c>
      <c r="L24" t="s">
        <v>26</v>
      </c>
      <c r="M24" t="s">
        <v>25</v>
      </c>
      <c r="N24" t="s">
        <v>24</v>
      </c>
      <c r="O24" t="s">
        <v>21</v>
      </c>
      <c r="P24">
        <v>631</v>
      </c>
      <c r="Q24">
        <v>6</v>
      </c>
      <c r="R24">
        <v>274</v>
      </c>
      <c r="S24">
        <v>360</v>
      </c>
      <c r="U24">
        <f t="shared" si="0"/>
        <v>78.899082568807344</v>
      </c>
      <c r="V24">
        <f t="shared" si="1"/>
        <v>69.635627530364374</v>
      </c>
      <c r="W24">
        <f t="shared" si="2"/>
        <v>73.978494623655919</v>
      </c>
    </row>
    <row r="25" spans="1:23">
      <c r="A25">
        <v>20</v>
      </c>
      <c r="B25">
        <v>1</v>
      </c>
      <c r="C25">
        <v>175</v>
      </c>
      <c r="D25">
        <v>227</v>
      </c>
      <c r="E25">
        <v>0.10256410256410201</v>
      </c>
      <c r="F25">
        <v>8.0971659919028299E-2</v>
      </c>
      <c r="G25">
        <v>9.0497737556561E-2</v>
      </c>
      <c r="H25">
        <v>124.24</v>
      </c>
      <c r="I25">
        <v>146.62</v>
      </c>
      <c r="J25">
        <v>270.86</v>
      </c>
      <c r="K25">
        <v>2.7468452779999999</v>
      </c>
      <c r="L25" t="s">
        <v>26</v>
      </c>
      <c r="M25" t="s">
        <v>25</v>
      </c>
      <c r="N25" t="s">
        <v>24</v>
      </c>
      <c r="O25" t="s">
        <v>22</v>
      </c>
      <c r="P25">
        <v>79</v>
      </c>
      <c r="Q25">
        <v>2</v>
      </c>
      <c r="R25">
        <v>699</v>
      </c>
      <c r="S25">
        <v>912</v>
      </c>
      <c r="U25">
        <f t="shared" si="0"/>
        <v>10.256410256410255</v>
      </c>
      <c r="V25">
        <f t="shared" si="1"/>
        <v>8.097165991902834</v>
      </c>
      <c r="W25">
        <f t="shared" si="2"/>
        <v>9.0497737556561084</v>
      </c>
    </row>
    <row r="26" spans="1:23">
      <c r="A26">
        <v>99</v>
      </c>
      <c r="B26">
        <v>127</v>
      </c>
      <c r="C26">
        <v>24</v>
      </c>
      <c r="D26">
        <v>1</v>
      </c>
      <c r="E26">
        <v>0.80487804878048697</v>
      </c>
      <c r="F26">
        <v>0.99</v>
      </c>
      <c r="G26">
        <v>0.88789237668161403</v>
      </c>
      <c r="H26">
        <v>95.64</v>
      </c>
      <c r="I26">
        <v>60.56</v>
      </c>
      <c r="J26">
        <v>156.19999999999999</v>
      </c>
      <c r="K26">
        <v>1.32847822799999</v>
      </c>
      <c r="L26" t="s">
        <v>27</v>
      </c>
      <c r="M26" s="1">
        <v>45721</v>
      </c>
      <c r="N26" t="s">
        <v>20</v>
      </c>
      <c r="O26" t="s">
        <v>21</v>
      </c>
      <c r="P26">
        <v>471</v>
      </c>
      <c r="Q26">
        <v>381</v>
      </c>
      <c r="R26">
        <v>148</v>
      </c>
      <c r="S26">
        <v>79</v>
      </c>
      <c r="U26">
        <f t="shared" si="0"/>
        <v>80.487804878048792</v>
      </c>
      <c r="V26">
        <f t="shared" si="1"/>
        <v>99</v>
      </c>
      <c r="W26">
        <f t="shared" si="2"/>
        <v>88.789237668161448</v>
      </c>
    </row>
    <row r="27" spans="1:23">
      <c r="A27">
        <v>25</v>
      </c>
      <c r="B27">
        <v>0</v>
      </c>
      <c r="C27">
        <v>225</v>
      </c>
      <c r="D27">
        <v>225</v>
      </c>
      <c r="E27">
        <v>0.1</v>
      </c>
      <c r="F27">
        <v>0.1</v>
      </c>
      <c r="G27">
        <v>0.1</v>
      </c>
      <c r="H27">
        <v>95.64</v>
      </c>
      <c r="I27">
        <v>71.22</v>
      </c>
      <c r="J27">
        <v>166.86</v>
      </c>
      <c r="K27">
        <v>1.1705591259999899</v>
      </c>
      <c r="L27" t="s">
        <v>27</v>
      </c>
      <c r="M27" s="1">
        <v>45721</v>
      </c>
      <c r="N27" t="s">
        <v>20</v>
      </c>
      <c r="O27" t="s">
        <v>22</v>
      </c>
      <c r="P27">
        <v>92</v>
      </c>
      <c r="Q27">
        <v>0</v>
      </c>
      <c r="R27">
        <v>907</v>
      </c>
      <c r="S27">
        <v>608</v>
      </c>
      <c r="U27">
        <f t="shared" si="0"/>
        <v>10</v>
      </c>
      <c r="V27">
        <f t="shared" si="1"/>
        <v>10</v>
      </c>
      <c r="W27">
        <f t="shared" si="2"/>
        <v>10</v>
      </c>
    </row>
    <row r="28" spans="1:23">
      <c r="A28">
        <v>92</v>
      </c>
      <c r="B28">
        <v>79</v>
      </c>
      <c r="C28">
        <v>48</v>
      </c>
      <c r="D28">
        <v>57</v>
      </c>
      <c r="E28">
        <v>0.65714285714285703</v>
      </c>
      <c r="F28">
        <v>0.61744966442952998</v>
      </c>
      <c r="G28">
        <v>0.63667820069204095</v>
      </c>
      <c r="H28">
        <v>103.88</v>
      </c>
      <c r="I28">
        <v>56.16</v>
      </c>
      <c r="J28">
        <v>160.04</v>
      </c>
      <c r="K28">
        <v>1.285368372</v>
      </c>
      <c r="L28" t="s">
        <v>27</v>
      </c>
      <c r="M28" s="1">
        <v>45721</v>
      </c>
      <c r="N28" t="s">
        <v>23</v>
      </c>
      <c r="O28" t="s">
        <v>21</v>
      </c>
      <c r="P28">
        <v>389</v>
      </c>
      <c r="Q28">
        <v>234</v>
      </c>
      <c r="R28">
        <v>280</v>
      </c>
      <c r="S28">
        <v>308</v>
      </c>
      <c r="U28">
        <f t="shared" si="0"/>
        <v>65.714285714285708</v>
      </c>
      <c r="V28">
        <f t="shared" si="1"/>
        <v>61.744966442953022</v>
      </c>
      <c r="W28">
        <f t="shared" si="2"/>
        <v>63.667820069204154</v>
      </c>
    </row>
    <row r="29" spans="1:23">
      <c r="A29">
        <v>7</v>
      </c>
      <c r="B29">
        <v>4</v>
      </c>
      <c r="C29">
        <v>238</v>
      </c>
      <c r="D29">
        <v>142</v>
      </c>
      <c r="E29">
        <v>2.8571428571428501E-2</v>
      </c>
      <c r="F29">
        <v>4.6979865771811999E-2</v>
      </c>
      <c r="G29">
        <v>3.5532994923857801E-2</v>
      </c>
      <c r="H29">
        <v>103.88</v>
      </c>
      <c r="I29">
        <v>93.76</v>
      </c>
      <c r="J29">
        <v>197.64</v>
      </c>
      <c r="K29">
        <v>1.5542847420000001</v>
      </c>
      <c r="L29" t="s">
        <v>27</v>
      </c>
      <c r="M29" s="1">
        <v>45721</v>
      </c>
      <c r="N29" t="s">
        <v>23</v>
      </c>
      <c r="O29" t="s">
        <v>22</v>
      </c>
      <c r="P29">
        <v>24</v>
      </c>
      <c r="Q29">
        <v>7</v>
      </c>
      <c r="R29">
        <v>966</v>
      </c>
      <c r="S29">
        <v>673</v>
      </c>
      <c r="U29">
        <f t="shared" si="0"/>
        <v>2.8571428571428572</v>
      </c>
      <c r="V29">
        <f t="shared" si="1"/>
        <v>4.6979865771812079</v>
      </c>
      <c r="W29">
        <f t="shared" si="2"/>
        <v>3.5532994923857868</v>
      </c>
    </row>
    <row r="30" spans="1:23">
      <c r="A30">
        <v>172</v>
      </c>
      <c r="B30">
        <v>2</v>
      </c>
      <c r="C30">
        <v>47</v>
      </c>
      <c r="D30">
        <v>75</v>
      </c>
      <c r="E30">
        <v>0.78538812785388101</v>
      </c>
      <c r="F30">
        <v>0.69635627530364297</v>
      </c>
      <c r="G30">
        <v>0.73819742489270301</v>
      </c>
      <c r="H30">
        <v>125.86</v>
      </c>
      <c r="I30">
        <v>87.42</v>
      </c>
      <c r="J30">
        <v>213.28</v>
      </c>
      <c r="K30">
        <v>1.5361217999999901</v>
      </c>
      <c r="L30" t="s">
        <v>27</v>
      </c>
      <c r="M30" s="1">
        <v>45721</v>
      </c>
      <c r="N30" t="s">
        <v>24</v>
      </c>
      <c r="O30" t="s">
        <v>21</v>
      </c>
      <c r="P30">
        <v>634</v>
      </c>
      <c r="Q30">
        <v>6</v>
      </c>
      <c r="R30">
        <v>277</v>
      </c>
      <c r="S30">
        <v>357</v>
      </c>
      <c r="U30">
        <f t="shared" si="0"/>
        <v>78.538812785388117</v>
      </c>
      <c r="V30">
        <f t="shared" si="1"/>
        <v>69.635627530364374</v>
      </c>
      <c r="W30">
        <f t="shared" si="2"/>
        <v>73.819742489270382</v>
      </c>
    </row>
    <row r="31" spans="1:23">
      <c r="A31">
        <v>27</v>
      </c>
      <c r="B31">
        <v>0</v>
      </c>
      <c r="C31">
        <v>206</v>
      </c>
      <c r="D31">
        <v>220</v>
      </c>
      <c r="E31">
        <v>0.11587982832618</v>
      </c>
      <c r="F31">
        <v>0.109311740890688</v>
      </c>
      <c r="G31">
        <v>0.1125</v>
      </c>
      <c r="H31">
        <v>125.86</v>
      </c>
      <c r="I31">
        <v>120.72</v>
      </c>
      <c r="J31">
        <v>246.58</v>
      </c>
      <c r="K31">
        <v>2.45748784599999</v>
      </c>
      <c r="L31" t="s">
        <v>27</v>
      </c>
      <c r="M31" s="1">
        <v>45721</v>
      </c>
      <c r="N31" t="s">
        <v>24</v>
      </c>
      <c r="O31" t="s">
        <v>22</v>
      </c>
      <c r="P31">
        <v>108</v>
      </c>
      <c r="Q31">
        <v>1</v>
      </c>
      <c r="R31">
        <v>829</v>
      </c>
      <c r="S31">
        <v>883</v>
      </c>
      <c r="U31">
        <f t="shared" si="0"/>
        <v>11.587982832618025</v>
      </c>
      <c r="V31">
        <f t="shared" si="1"/>
        <v>10.931174089068826</v>
      </c>
      <c r="W31">
        <f t="shared" si="2"/>
        <v>11.249999999999998</v>
      </c>
    </row>
    <row r="32" spans="1:23">
      <c r="A32">
        <v>100</v>
      </c>
      <c r="B32">
        <v>150</v>
      </c>
      <c r="C32">
        <v>0</v>
      </c>
      <c r="D32">
        <v>0</v>
      </c>
      <c r="E32">
        <v>1</v>
      </c>
      <c r="F32">
        <v>1</v>
      </c>
      <c r="G32">
        <v>1</v>
      </c>
      <c r="H32">
        <v>94</v>
      </c>
      <c r="I32">
        <v>45.28</v>
      </c>
      <c r="J32">
        <v>139.28</v>
      </c>
      <c r="K32">
        <v>1.7785339259999899</v>
      </c>
      <c r="L32" t="s">
        <v>27</v>
      </c>
      <c r="M32" t="s">
        <v>25</v>
      </c>
      <c r="N32" t="s">
        <v>20</v>
      </c>
      <c r="O32" t="s">
        <v>21</v>
      </c>
      <c r="P32">
        <v>500</v>
      </c>
      <c r="Q32">
        <v>450</v>
      </c>
      <c r="R32">
        <v>50</v>
      </c>
      <c r="S32">
        <v>50</v>
      </c>
      <c r="U32">
        <f t="shared" si="0"/>
        <v>100</v>
      </c>
      <c r="V32">
        <f t="shared" si="1"/>
        <v>100</v>
      </c>
      <c r="W32">
        <f t="shared" si="2"/>
        <v>100</v>
      </c>
    </row>
    <row r="33" spans="1:23">
      <c r="A33">
        <v>23</v>
      </c>
      <c r="B33">
        <v>54</v>
      </c>
      <c r="C33">
        <v>137</v>
      </c>
      <c r="D33">
        <v>77</v>
      </c>
      <c r="E33">
        <v>0.14374999999999999</v>
      </c>
      <c r="F33">
        <v>0.23</v>
      </c>
      <c r="G33">
        <v>0.17692307692307599</v>
      </c>
      <c r="H33">
        <v>94</v>
      </c>
      <c r="I33">
        <v>126.4</v>
      </c>
      <c r="J33">
        <v>220.4</v>
      </c>
      <c r="K33">
        <v>2.200944824</v>
      </c>
      <c r="L33" t="s">
        <v>27</v>
      </c>
      <c r="M33" t="s">
        <v>25</v>
      </c>
      <c r="N33" t="s">
        <v>20</v>
      </c>
      <c r="O33" t="s">
        <v>22</v>
      </c>
      <c r="P33">
        <v>84</v>
      </c>
      <c r="Q33">
        <v>165</v>
      </c>
      <c r="R33">
        <v>551</v>
      </c>
      <c r="S33">
        <v>466</v>
      </c>
      <c r="U33">
        <f t="shared" si="0"/>
        <v>14.374999999999998</v>
      </c>
      <c r="V33">
        <f t="shared" si="1"/>
        <v>23</v>
      </c>
      <c r="W33">
        <f t="shared" si="2"/>
        <v>17.69230769230769</v>
      </c>
    </row>
    <row r="34" spans="1:23">
      <c r="A34">
        <v>80</v>
      </c>
      <c r="B34">
        <v>101</v>
      </c>
      <c r="C34">
        <v>63</v>
      </c>
      <c r="D34">
        <v>69</v>
      </c>
      <c r="E34">
        <v>0.55944055944055904</v>
      </c>
      <c r="F34">
        <v>0.53691275167785202</v>
      </c>
      <c r="G34">
        <v>0.54794520547945202</v>
      </c>
      <c r="H34">
        <v>102.56</v>
      </c>
      <c r="I34">
        <v>55.42</v>
      </c>
      <c r="J34">
        <v>157.97999999999999</v>
      </c>
      <c r="K34">
        <v>2.2424302679999899</v>
      </c>
      <c r="L34" t="s">
        <v>27</v>
      </c>
      <c r="M34" t="s">
        <v>25</v>
      </c>
      <c r="N34" t="s">
        <v>23</v>
      </c>
      <c r="O34" t="s">
        <v>21</v>
      </c>
      <c r="P34">
        <v>396</v>
      </c>
      <c r="Q34">
        <v>302</v>
      </c>
      <c r="R34">
        <v>282</v>
      </c>
      <c r="S34">
        <v>301</v>
      </c>
      <c r="U34">
        <f t="shared" si="0"/>
        <v>55.944055944055947</v>
      </c>
      <c r="V34">
        <f t="shared" si="1"/>
        <v>53.691275167785236</v>
      </c>
      <c r="W34">
        <f t="shared" si="2"/>
        <v>54.794520547945204</v>
      </c>
    </row>
    <row r="35" spans="1:23">
      <c r="A35">
        <v>7</v>
      </c>
      <c r="B35">
        <v>8</v>
      </c>
      <c r="C35">
        <v>223</v>
      </c>
      <c r="D35">
        <v>142</v>
      </c>
      <c r="E35">
        <v>3.0434782608695601E-2</v>
      </c>
      <c r="F35">
        <v>4.6979865771811999E-2</v>
      </c>
      <c r="G35">
        <v>3.6939313984168803E-2</v>
      </c>
      <c r="H35">
        <v>102.56</v>
      </c>
      <c r="I35">
        <v>129.16</v>
      </c>
      <c r="J35">
        <v>231.72</v>
      </c>
      <c r="K35">
        <v>2.1316789319999998</v>
      </c>
      <c r="L35" t="s">
        <v>27</v>
      </c>
      <c r="M35" t="s">
        <v>25</v>
      </c>
      <c r="N35" t="s">
        <v>23</v>
      </c>
      <c r="O35" t="s">
        <v>22</v>
      </c>
      <c r="P35">
        <v>23</v>
      </c>
      <c r="Q35">
        <v>42</v>
      </c>
      <c r="R35">
        <v>863</v>
      </c>
      <c r="S35">
        <v>674</v>
      </c>
      <c r="U35">
        <f t="shared" si="0"/>
        <v>3.0434782608695654</v>
      </c>
      <c r="V35">
        <f t="shared" si="1"/>
        <v>4.6979865771812079</v>
      </c>
      <c r="W35">
        <f t="shared" si="2"/>
        <v>3.6939313984168867</v>
      </c>
    </row>
    <row r="36" spans="1:23">
      <c r="A36">
        <v>173</v>
      </c>
      <c r="B36">
        <v>2</v>
      </c>
      <c r="C36">
        <v>45</v>
      </c>
      <c r="D36">
        <v>74</v>
      </c>
      <c r="E36">
        <v>0.79357798165137605</v>
      </c>
      <c r="F36">
        <v>0.70040485829959498</v>
      </c>
      <c r="G36">
        <v>0.74408602150537595</v>
      </c>
      <c r="H36">
        <v>124.24</v>
      </c>
      <c r="I36">
        <v>87.96</v>
      </c>
      <c r="J36">
        <v>212.2</v>
      </c>
      <c r="K36">
        <v>3.5205588080000001</v>
      </c>
      <c r="L36" t="s">
        <v>27</v>
      </c>
      <c r="M36" t="s">
        <v>25</v>
      </c>
      <c r="N36" t="s">
        <v>24</v>
      </c>
      <c r="O36" t="s">
        <v>21</v>
      </c>
      <c r="P36">
        <v>631</v>
      </c>
      <c r="Q36">
        <v>6</v>
      </c>
      <c r="R36">
        <v>274</v>
      </c>
      <c r="S36">
        <v>360</v>
      </c>
      <c r="U36">
        <f t="shared" si="0"/>
        <v>79.357798165137609</v>
      </c>
      <c r="V36">
        <f t="shared" si="1"/>
        <v>70.040485829959508</v>
      </c>
      <c r="W36">
        <f t="shared" si="2"/>
        <v>74.408602150537618</v>
      </c>
    </row>
    <row r="37" spans="1:23">
      <c r="A37">
        <v>18</v>
      </c>
      <c r="B37">
        <v>1</v>
      </c>
      <c r="C37">
        <v>171</v>
      </c>
      <c r="D37">
        <v>229</v>
      </c>
      <c r="E37">
        <v>9.5238095238095205E-2</v>
      </c>
      <c r="F37">
        <v>7.28744939271255E-2</v>
      </c>
      <c r="G37">
        <v>8.2568807339449504E-2</v>
      </c>
      <c r="H37">
        <v>124.24</v>
      </c>
      <c r="I37">
        <v>172.18</v>
      </c>
      <c r="J37">
        <v>296.42</v>
      </c>
      <c r="K37">
        <v>3.00743011799999</v>
      </c>
      <c r="L37" t="s">
        <v>27</v>
      </c>
      <c r="M37" t="s">
        <v>25</v>
      </c>
      <c r="N37" t="s">
        <v>24</v>
      </c>
      <c r="O37" t="s">
        <v>22</v>
      </c>
      <c r="P37">
        <v>79</v>
      </c>
      <c r="Q37">
        <v>2</v>
      </c>
      <c r="R37">
        <v>699</v>
      </c>
      <c r="S37">
        <v>912</v>
      </c>
      <c r="U37">
        <f t="shared" si="0"/>
        <v>9.5238095238095237</v>
      </c>
      <c r="V37">
        <f t="shared" si="1"/>
        <v>7.2874493927125501</v>
      </c>
      <c r="W37">
        <f t="shared" si="2"/>
        <v>8.2568807339449535</v>
      </c>
    </row>
    <row r="38" spans="1:23">
      <c r="A38">
        <v>177</v>
      </c>
      <c r="B38">
        <v>0</v>
      </c>
      <c r="C38">
        <v>73</v>
      </c>
      <c r="D38">
        <v>73</v>
      </c>
      <c r="E38">
        <v>0.70799999999999996</v>
      </c>
      <c r="F38">
        <v>0.70799999999999996</v>
      </c>
      <c r="G38">
        <v>0.70799999999999996</v>
      </c>
      <c r="H38">
        <v>95.64</v>
      </c>
      <c r="I38">
        <v>53.24</v>
      </c>
      <c r="J38">
        <v>148.88</v>
      </c>
      <c r="K38">
        <v>1.3192572300000001</v>
      </c>
      <c r="L38" t="s">
        <v>28</v>
      </c>
      <c r="M38" s="1">
        <v>45721</v>
      </c>
      <c r="N38" t="s">
        <v>20</v>
      </c>
      <c r="O38" t="s">
        <v>21</v>
      </c>
      <c r="P38">
        <v>471</v>
      </c>
      <c r="Q38">
        <v>381</v>
      </c>
      <c r="R38">
        <v>148</v>
      </c>
      <c r="S38">
        <v>79</v>
      </c>
      <c r="U38">
        <f t="shared" si="0"/>
        <v>70.8</v>
      </c>
      <c r="V38">
        <f t="shared" si="1"/>
        <v>70.8</v>
      </c>
      <c r="W38">
        <f t="shared" si="2"/>
        <v>70.8</v>
      </c>
    </row>
    <row r="39" spans="1:23">
      <c r="A39">
        <v>22</v>
      </c>
      <c r="B39">
        <v>0</v>
      </c>
      <c r="C39">
        <v>227</v>
      </c>
      <c r="D39">
        <v>228</v>
      </c>
      <c r="E39">
        <v>8.8353413654618407E-2</v>
      </c>
      <c r="F39">
        <v>8.7999999999999995E-2</v>
      </c>
      <c r="G39">
        <v>8.8176352705410799E-2</v>
      </c>
      <c r="H39">
        <v>95.64</v>
      </c>
      <c r="I39">
        <v>76.02</v>
      </c>
      <c r="J39">
        <v>171.66</v>
      </c>
      <c r="K39">
        <v>1.1949869179999899</v>
      </c>
      <c r="L39" t="s">
        <v>28</v>
      </c>
      <c r="M39" s="1">
        <v>45721</v>
      </c>
      <c r="N39" t="s">
        <v>20</v>
      </c>
      <c r="O39" t="s">
        <v>22</v>
      </c>
      <c r="P39">
        <v>92</v>
      </c>
      <c r="Q39">
        <v>0</v>
      </c>
      <c r="R39">
        <v>907</v>
      </c>
      <c r="S39">
        <v>608</v>
      </c>
      <c r="U39">
        <f t="shared" si="0"/>
        <v>8.8353413654618471</v>
      </c>
      <c r="V39">
        <f t="shared" si="1"/>
        <v>8.7999999999999989</v>
      </c>
      <c r="W39">
        <f t="shared" si="2"/>
        <v>8.8176352705410803</v>
      </c>
    </row>
    <row r="40" spans="1:23">
      <c r="A40">
        <v>132</v>
      </c>
      <c r="B40">
        <v>0</v>
      </c>
      <c r="C40">
        <v>118</v>
      </c>
      <c r="D40">
        <v>118</v>
      </c>
      <c r="E40">
        <v>0.52800000000000002</v>
      </c>
      <c r="F40">
        <v>0.52800000000000002</v>
      </c>
      <c r="G40">
        <v>0.52800000000000002</v>
      </c>
      <c r="H40">
        <v>103.88</v>
      </c>
      <c r="I40">
        <v>58.72</v>
      </c>
      <c r="J40">
        <v>162.6</v>
      </c>
      <c r="K40">
        <v>1.26727725999999</v>
      </c>
      <c r="L40" t="s">
        <v>28</v>
      </c>
      <c r="M40" s="1">
        <v>45721</v>
      </c>
      <c r="N40" t="s">
        <v>23</v>
      </c>
      <c r="O40" t="s">
        <v>21</v>
      </c>
      <c r="P40">
        <v>389</v>
      </c>
      <c r="Q40">
        <v>234</v>
      </c>
      <c r="R40">
        <v>280</v>
      </c>
      <c r="S40">
        <v>308</v>
      </c>
      <c r="U40">
        <f t="shared" si="0"/>
        <v>52.800000000000004</v>
      </c>
      <c r="V40">
        <f t="shared" si="1"/>
        <v>52.800000000000004</v>
      </c>
      <c r="W40">
        <f t="shared" si="2"/>
        <v>52.800000000000004</v>
      </c>
    </row>
    <row r="41" spans="1:23">
      <c r="A41">
        <v>5</v>
      </c>
      <c r="B41">
        <v>0</v>
      </c>
      <c r="C41">
        <v>245</v>
      </c>
      <c r="D41">
        <v>245</v>
      </c>
      <c r="E41">
        <v>0.02</v>
      </c>
      <c r="F41">
        <v>0.02</v>
      </c>
      <c r="G41">
        <v>0.02</v>
      </c>
      <c r="H41">
        <v>103.88</v>
      </c>
      <c r="I41">
        <v>96.32</v>
      </c>
      <c r="J41">
        <v>200.2</v>
      </c>
      <c r="K41">
        <v>1.476409512</v>
      </c>
      <c r="L41" t="s">
        <v>28</v>
      </c>
      <c r="M41" s="1">
        <v>45721</v>
      </c>
      <c r="N41" t="s">
        <v>23</v>
      </c>
      <c r="O41" t="s">
        <v>22</v>
      </c>
      <c r="P41">
        <v>24</v>
      </c>
      <c r="Q41">
        <v>7</v>
      </c>
      <c r="R41">
        <v>966</v>
      </c>
      <c r="S41">
        <v>673</v>
      </c>
      <c r="U41">
        <f t="shared" si="0"/>
        <v>2</v>
      </c>
      <c r="V41">
        <f t="shared" si="1"/>
        <v>2</v>
      </c>
      <c r="W41">
        <f t="shared" si="2"/>
        <v>2</v>
      </c>
    </row>
    <row r="42" spans="1:23">
      <c r="A42">
        <v>111</v>
      </c>
      <c r="B42">
        <v>0</v>
      </c>
      <c r="C42">
        <v>139</v>
      </c>
      <c r="D42">
        <v>139</v>
      </c>
      <c r="E42">
        <v>0.44400000000000001</v>
      </c>
      <c r="F42">
        <v>0.44400000000000001</v>
      </c>
      <c r="G42">
        <v>0.44400000000000001</v>
      </c>
      <c r="H42">
        <v>125.86</v>
      </c>
      <c r="I42">
        <v>87.86</v>
      </c>
      <c r="J42">
        <v>213.72</v>
      </c>
      <c r="K42">
        <v>1.6879019820000001</v>
      </c>
      <c r="L42" t="s">
        <v>28</v>
      </c>
      <c r="M42" s="1">
        <v>45721</v>
      </c>
      <c r="N42" t="s">
        <v>24</v>
      </c>
      <c r="O42" t="s">
        <v>21</v>
      </c>
      <c r="P42">
        <v>634</v>
      </c>
      <c r="Q42">
        <v>6</v>
      </c>
      <c r="R42">
        <v>277</v>
      </c>
      <c r="S42">
        <v>357</v>
      </c>
      <c r="U42">
        <f t="shared" si="0"/>
        <v>44.4</v>
      </c>
      <c r="V42">
        <f t="shared" si="1"/>
        <v>44.4</v>
      </c>
      <c r="W42">
        <f t="shared" si="2"/>
        <v>44.4</v>
      </c>
    </row>
    <row r="43" spans="1:23">
      <c r="A43">
        <v>26</v>
      </c>
      <c r="B43">
        <v>0</v>
      </c>
      <c r="C43">
        <v>212</v>
      </c>
      <c r="D43">
        <v>224</v>
      </c>
      <c r="E43">
        <v>0.109243697478991</v>
      </c>
      <c r="F43">
        <v>0.104</v>
      </c>
      <c r="G43">
        <v>0.10655737704918</v>
      </c>
      <c r="H43">
        <v>125.86</v>
      </c>
      <c r="I43">
        <v>124.78</v>
      </c>
      <c r="J43">
        <v>250.64</v>
      </c>
      <c r="K43">
        <v>1.7623413139999999</v>
      </c>
      <c r="L43" t="s">
        <v>28</v>
      </c>
      <c r="M43" s="1">
        <v>45721</v>
      </c>
      <c r="N43" t="s">
        <v>24</v>
      </c>
      <c r="O43" t="s">
        <v>22</v>
      </c>
      <c r="P43">
        <v>108</v>
      </c>
      <c r="Q43">
        <v>1</v>
      </c>
      <c r="R43">
        <v>829</v>
      </c>
      <c r="S43">
        <v>883</v>
      </c>
      <c r="U43">
        <f t="shared" si="0"/>
        <v>10.92436974789916</v>
      </c>
      <c r="V43">
        <f t="shared" si="1"/>
        <v>10.4</v>
      </c>
      <c r="W43">
        <f t="shared" si="2"/>
        <v>10.655737704918032</v>
      </c>
    </row>
    <row r="44" spans="1:23">
      <c r="A44">
        <v>200</v>
      </c>
      <c r="B44">
        <v>0</v>
      </c>
      <c r="C44">
        <v>50</v>
      </c>
      <c r="D44">
        <v>50</v>
      </c>
      <c r="E44">
        <v>0.8</v>
      </c>
      <c r="F44">
        <v>0.8</v>
      </c>
      <c r="G44">
        <v>0.8</v>
      </c>
      <c r="H44">
        <v>94</v>
      </c>
      <c r="I44">
        <v>45.28</v>
      </c>
      <c r="J44">
        <v>139.28</v>
      </c>
      <c r="K44">
        <v>2.4977978900000002</v>
      </c>
      <c r="L44" t="s">
        <v>28</v>
      </c>
      <c r="M44" t="s">
        <v>25</v>
      </c>
      <c r="N44" t="s">
        <v>20</v>
      </c>
      <c r="O44" t="s">
        <v>21</v>
      </c>
      <c r="P44">
        <v>500</v>
      </c>
      <c r="Q44">
        <v>450</v>
      </c>
      <c r="R44">
        <v>50</v>
      </c>
      <c r="S44">
        <v>50</v>
      </c>
      <c r="U44">
        <f t="shared" si="0"/>
        <v>80</v>
      </c>
      <c r="V44">
        <f t="shared" si="1"/>
        <v>80</v>
      </c>
      <c r="W44">
        <f t="shared" si="2"/>
        <v>80</v>
      </c>
    </row>
    <row r="45" spans="1:23">
      <c r="A45">
        <v>20</v>
      </c>
      <c r="B45">
        <v>0</v>
      </c>
      <c r="C45">
        <v>140</v>
      </c>
      <c r="D45">
        <v>230</v>
      </c>
      <c r="E45">
        <v>0.125</v>
      </c>
      <c r="F45">
        <v>0.08</v>
      </c>
      <c r="G45">
        <v>9.7560975609756004E-2</v>
      </c>
      <c r="H45">
        <v>94</v>
      </c>
      <c r="I45">
        <v>129.16</v>
      </c>
      <c r="J45">
        <v>223.16</v>
      </c>
      <c r="K45">
        <v>2.7796480460000002</v>
      </c>
      <c r="L45" t="s">
        <v>28</v>
      </c>
      <c r="M45" t="s">
        <v>25</v>
      </c>
      <c r="N45" t="s">
        <v>20</v>
      </c>
      <c r="O45" t="s">
        <v>22</v>
      </c>
      <c r="P45">
        <v>84</v>
      </c>
      <c r="Q45">
        <v>165</v>
      </c>
      <c r="R45">
        <v>551</v>
      </c>
      <c r="S45">
        <v>466</v>
      </c>
      <c r="U45">
        <f t="shared" si="0"/>
        <v>12.5</v>
      </c>
      <c r="V45">
        <f t="shared" si="1"/>
        <v>8</v>
      </c>
      <c r="W45">
        <f t="shared" si="2"/>
        <v>9.7560975609756095</v>
      </c>
    </row>
    <row r="46" spans="1:23">
      <c r="A46">
        <v>151</v>
      </c>
      <c r="B46">
        <v>0</v>
      </c>
      <c r="C46">
        <v>99</v>
      </c>
      <c r="D46">
        <v>99</v>
      </c>
      <c r="E46">
        <v>0.60399999999999998</v>
      </c>
      <c r="F46">
        <v>0.60399999999999998</v>
      </c>
      <c r="G46">
        <v>0.60399999999999998</v>
      </c>
      <c r="H46">
        <v>102.56</v>
      </c>
      <c r="I46">
        <v>55.46</v>
      </c>
      <c r="J46">
        <v>158.02000000000001</v>
      </c>
      <c r="K46">
        <v>2.8413304080000001</v>
      </c>
      <c r="L46" t="s">
        <v>28</v>
      </c>
      <c r="M46" t="s">
        <v>25</v>
      </c>
      <c r="N46" t="s">
        <v>23</v>
      </c>
      <c r="O46" t="s">
        <v>21</v>
      </c>
      <c r="P46">
        <v>396</v>
      </c>
      <c r="Q46">
        <v>302</v>
      </c>
      <c r="R46">
        <v>282</v>
      </c>
      <c r="S46">
        <v>301</v>
      </c>
      <c r="U46">
        <f t="shared" si="0"/>
        <v>60.4</v>
      </c>
      <c r="V46">
        <f t="shared" si="1"/>
        <v>60.4</v>
      </c>
      <c r="W46">
        <f t="shared" si="2"/>
        <v>60.4</v>
      </c>
    </row>
    <row r="47" spans="1:23">
      <c r="A47">
        <v>7</v>
      </c>
      <c r="B47">
        <v>0</v>
      </c>
      <c r="C47">
        <v>233</v>
      </c>
      <c r="D47">
        <v>243</v>
      </c>
      <c r="E47">
        <v>2.9166666666666601E-2</v>
      </c>
      <c r="F47">
        <v>2.8000000000000001E-2</v>
      </c>
      <c r="G47">
        <v>2.8571428571428501E-2</v>
      </c>
      <c r="H47">
        <v>102.56</v>
      </c>
      <c r="I47">
        <v>130.69999999999999</v>
      </c>
      <c r="J47">
        <v>233.26</v>
      </c>
      <c r="K47">
        <v>2.7460594779999998</v>
      </c>
      <c r="L47" t="s">
        <v>28</v>
      </c>
      <c r="M47" t="s">
        <v>25</v>
      </c>
      <c r="N47" t="s">
        <v>23</v>
      </c>
      <c r="O47" t="s">
        <v>22</v>
      </c>
      <c r="P47">
        <v>23</v>
      </c>
      <c r="Q47">
        <v>42</v>
      </c>
      <c r="R47">
        <v>863</v>
      </c>
      <c r="S47">
        <v>674</v>
      </c>
      <c r="U47">
        <f t="shared" si="0"/>
        <v>2.9166666666666665</v>
      </c>
      <c r="V47">
        <f t="shared" si="1"/>
        <v>2.8000000000000003</v>
      </c>
      <c r="W47">
        <f t="shared" si="2"/>
        <v>2.8571428571428577</v>
      </c>
    </row>
    <row r="48" spans="1:23">
      <c r="A48">
        <v>112</v>
      </c>
      <c r="B48">
        <v>0</v>
      </c>
      <c r="C48">
        <v>138</v>
      </c>
      <c r="D48">
        <v>138</v>
      </c>
      <c r="E48">
        <v>0.44800000000000001</v>
      </c>
      <c r="F48">
        <v>0.44800000000000001</v>
      </c>
      <c r="G48">
        <v>0.44800000000000001</v>
      </c>
      <c r="H48">
        <v>124.24</v>
      </c>
      <c r="I48">
        <v>87.54</v>
      </c>
      <c r="J48">
        <v>211.78</v>
      </c>
      <c r="K48">
        <v>3.0333259899999998</v>
      </c>
      <c r="L48" t="s">
        <v>28</v>
      </c>
      <c r="M48" t="s">
        <v>25</v>
      </c>
      <c r="N48" t="s">
        <v>24</v>
      </c>
      <c r="O48" t="s">
        <v>21</v>
      </c>
      <c r="P48">
        <v>631</v>
      </c>
      <c r="Q48">
        <v>6</v>
      </c>
      <c r="R48">
        <v>274</v>
      </c>
      <c r="S48">
        <v>360</v>
      </c>
      <c r="U48">
        <f t="shared" si="0"/>
        <v>44.800000000000004</v>
      </c>
      <c r="V48">
        <f t="shared" si="1"/>
        <v>44.800000000000004</v>
      </c>
      <c r="W48">
        <f t="shared" si="2"/>
        <v>44.800000000000004</v>
      </c>
    </row>
    <row r="49" spans="1:23">
      <c r="A49">
        <v>21</v>
      </c>
      <c r="B49">
        <v>0</v>
      </c>
      <c r="C49">
        <v>174</v>
      </c>
      <c r="D49">
        <v>229</v>
      </c>
      <c r="E49">
        <v>0.107692307692307</v>
      </c>
      <c r="F49">
        <v>8.4000000000000005E-2</v>
      </c>
      <c r="G49">
        <v>9.4382022471910104E-2</v>
      </c>
      <c r="H49">
        <v>124.24</v>
      </c>
      <c r="I49">
        <v>158.34</v>
      </c>
      <c r="J49">
        <v>282.58</v>
      </c>
      <c r="K49">
        <v>3.5190965859999901</v>
      </c>
      <c r="L49" t="s">
        <v>28</v>
      </c>
      <c r="M49" t="s">
        <v>25</v>
      </c>
      <c r="N49" t="s">
        <v>24</v>
      </c>
      <c r="O49" t="s">
        <v>22</v>
      </c>
      <c r="P49">
        <v>79</v>
      </c>
      <c r="Q49">
        <v>2</v>
      </c>
      <c r="R49">
        <v>699</v>
      </c>
      <c r="S49">
        <v>912</v>
      </c>
      <c r="U49">
        <f t="shared" si="0"/>
        <v>10.76923076923077</v>
      </c>
      <c r="V49">
        <f t="shared" si="1"/>
        <v>8.4</v>
      </c>
      <c r="W49">
        <f t="shared" si="2"/>
        <v>9.4382022471910112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2025-06-28T09:54:37Z</dcterms:created>
  <dcterms:modified xsi:type="dcterms:W3CDTF">2025-06-28T11:17:10Z</dcterms:modified>
  <cp:category/>
  <cp:contentStatus/>
</cp:coreProperties>
</file>